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02E77DE-F922-42AB-B544-F316678908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rpski" sheetId="4" r:id="rId1"/>
    <sheet name="Sheet2" sheetId="2" r:id="rId2"/>
    <sheet name="Sheet3" sheetId="3" r:id="rId3"/>
  </sheets>
  <definedNames>
    <definedName name="DISKONT">Srpski!#REF!</definedName>
    <definedName name="FAKTOR1">Srpski!$D$15</definedName>
    <definedName name="KURS_IN">Srpski!$D$13</definedName>
    <definedName name="KURS_OUT">Srpski!$D$14</definedName>
    <definedName name="_xlnm.Print_Area" localSheetId="0">Srpski!$B$17:$N$52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4" l="1"/>
  <c r="G34" i="4"/>
  <c r="I34" i="4" s="1"/>
  <c r="K33" i="4"/>
  <c r="G33" i="4"/>
  <c r="I33" i="4" s="1"/>
  <c r="L33" i="4" s="1"/>
  <c r="M33" i="4" s="1"/>
  <c r="N33" i="4" s="1"/>
  <c r="K32" i="4"/>
  <c r="G32" i="4"/>
  <c r="I32" i="4" s="1"/>
  <c r="L32" i="4" s="1"/>
  <c r="M32" i="4" s="1"/>
  <c r="N32" i="4" s="1"/>
  <c r="K31" i="4"/>
  <c r="G31" i="4"/>
  <c r="I31" i="4" s="1"/>
  <c r="L31" i="4" s="1"/>
  <c r="M31" i="4" s="1"/>
  <c r="N31" i="4" s="1"/>
  <c r="G30" i="4"/>
  <c r="I30" i="4" s="1"/>
  <c r="K30" i="4"/>
  <c r="K35" i="4"/>
  <c r="G35" i="4"/>
  <c r="I35" i="4" s="1"/>
  <c r="L34" i="4" l="1"/>
  <c r="M34" i="4" s="1"/>
  <c r="N34" i="4" s="1"/>
  <c r="L30" i="4"/>
  <c r="M30" i="4" s="1"/>
  <c r="N30" i="4" s="1"/>
  <c r="L35" i="4"/>
  <c r="I36" i="4" a="1"/>
  <c r="I36" i="4" s="1"/>
  <c r="I38" i="4" s="1"/>
  <c r="N36" i="4" l="1"/>
  <c r="N37" i="4" s="1"/>
  <c r="N38" i="4" s="1"/>
  <c r="N41" i="4" s="1"/>
  <c r="L36" i="4" a="1"/>
  <c r="L36" i="4" s="1"/>
  <c r="L38" i="4" s="1"/>
  <c r="J39" i="4" s="1"/>
  <c r="K3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Supur</author>
    <author>Nenad Supurović</author>
  </authors>
  <commentList>
    <comment ref="D1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Uneti kurs evra prema ulaznoj valuti. (Primer: ako je ulazna cena u  CHF i ako je 1 CHF = 0.69 EUR, onda uneti 0.69)</t>
        </r>
      </text>
    </comment>
    <comment ref="D14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Uneti kurs izlazne valute prema evru. (Primer: ako je izlazna cena u  din, i ako je 1 EUR = 66.0 din, onda uneti 66.0)</t>
        </r>
      </text>
    </comment>
    <comment ref="D1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Sluzi za naknadnu korekciju svih cena (Kolona FAKTOR sadrzi formulu =FAKTOR1. Za pojedinacnu korekciju cena, upisati zeljenu vrednost direktno.)</t>
        </r>
      </text>
    </comment>
    <comment ref="D30" authorId="0" shapeId="0" xr:uid="{C7E1E21C-42CD-44FC-8C05-5FE2AA7FD079}">
      <text>
        <r>
          <rPr>
            <b/>
            <sz val="8"/>
            <color indexed="81"/>
            <rFont val="Tahoma"/>
            <family val="2"/>
          </rPr>
          <t>Supur:</t>
        </r>
        <r>
          <rPr>
            <sz val="8"/>
            <color indexed="81"/>
            <rFont val="Tahoma"/>
            <family val="2"/>
          </rPr>
          <t xml:space="preserve">
26cm Miloš, 
28cm Supur, 
33cm Dragan...</t>
        </r>
      </text>
    </comment>
    <comment ref="D32" authorId="1" shapeId="0" xr:uid="{E44E56E9-30F7-4012-AEE3-BA741EA122AD}">
      <text>
        <r>
          <rPr>
            <sz val="8"/>
            <color indexed="81"/>
            <rFont val="Tahoma"/>
            <family val="2"/>
          </rPr>
          <t>BluePro, standard accessories.</t>
        </r>
      </text>
    </comment>
  </commentList>
</comments>
</file>

<file path=xl/sharedStrings.xml><?xml version="1.0" encoding="utf-8"?>
<sst xmlns="http://schemas.openxmlformats.org/spreadsheetml/2006/main" count="87" uniqueCount="81">
  <si>
    <t>Br.</t>
  </si>
  <si>
    <t>Naziv robe</t>
  </si>
  <si>
    <t>Kol.</t>
  </si>
  <si>
    <t>Jedinična cena</t>
  </si>
  <si>
    <t>Ukupno</t>
  </si>
  <si>
    <t>Sve ukupno:</t>
  </si>
  <si>
    <t>NETO</t>
  </si>
  <si>
    <t>LIST</t>
  </si>
  <si>
    <t>Za:</t>
  </si>
  <si>
    <t>MARZA</t>
  </si>
  <si>
    <t>USER</t>
  </si>
  <si>
    <t>DISK</t>
  </si>
  <si>
    <t>JEDINICNA CENA</t>
  </si>
  <si>
    <t>Kataloški. broj</t>
  </si>
  <si>
    <t>FAKTOR1:</t>
  </si>
  <si>
    <t>OVE KOLONE SAKRITI SA "HIDE"</t>
  </si>
  <si>
    <t>PRE ŠTAMPANJA !</t>
  </si>
  <si>
    <t>Ukup:</t>
  </si>
  <si>
    <t>OBJAŠNJENJE POLJA:</t>
  </si>
  <si>
    <t>POLJE:</t>
  </si>
  <si>
    <t xml:space="preserve"> = popust koji imamo kod dobavljaca</t>
  </si>
  <si>
    <t xml:space="preserve"> = je cena iz Export Enduser pricelist-e dobavljaca</t>
  </si>
  <si>
    <t>LIST_€</t>
  </si>
  <si>
    <t xml:space="preserve"> = LIST_€ * (1-DISK),  to je sada NETO cena ka dobavljacu </t>
  </si>
  <si>
    <t xml:space="preserve"> = LIST * KURS_IN,  preračunato u evre</t>
  </si>
  <si>
    <t xml:space="preserve"> = NETO / (1-MARZA) * FAKTOR</t>
  </si>
  <si>
    <t xml:space="preserve"> = marza koju zelimo imati</t>
  </si>
  <si>
    <t>FAKTOR</t>
  </si>
  <si>
    <t xml:space="preserve"> = USER * KURS_OUT,  jedinicna cena za korisnika, u valuti</t>
  </si>
  <si>
    <t>KURS_IN:</t>
  </si>
  <si>
    <t>KURS OUT:</t>
  </si>
  <si>
    <t>DISK_IN</t>
  </si>
  <si>
    <t xml:space="preserve"> = sluzi za eventualne korekcije (popust, poskupljenje..)</t>
  </si>
  <si>
    <t>Zarada:</t>
  </si>
  <si>
    <t>Naziv:</t>
  </si>
  <si>
    <t>Na osnovu:</t>
  </si>
  <si>
    <t>Preduzeće za proizvodnju, trgovinu i usluge d.o.o.</t>
  </si>
  <si>
    <t>Način plaćanja:</t>
  </si>
  <si>
    <t>285-1501000000712-39 Volksbank</t>
  </si>
  <si>
    <t>265-1100310022134-92 Raiffeisen banka</t>
  </si>
  <si>
    <t>Broj računa:</t>
  </si>
  <si>
    <t>Osnovica za obračun PDV:</t>
  </si>
  <si>
    <t>Datum obavljanja prometa:</t>
  </si>
  <si>
    <t>Fakturisao:</t>
  </si>
  <si>
    <t>Sedište i adresa:</t>
  </si>
  <si>
    <t>Ukupna vrednost fakture [Din.]:</t>
  </si>
  <si>
    <t>Datum izdavanja fakture:</t>
  </si>
  <si>
    <t>&lt;-- Ovako fakturisemo samo u slucaju da se placa fakturom ili ako je placen avans u istom mesecu!</t>
  </si>
  <si>
    <t>Ukupno uplaćeno [Din.]:</t>
  </si>
  <si>
    <t>OSTATAK  ZA UPLATU:</t>
  </si>
  <si>
    <t>TRIVAX VV, PIB: 101599486</t>
  </si>
  <si>
    <t>&lt;-- Upisati ovde ukupan iznos svih avansnih uplata (sa PDV)!</t>
  </si>
  <si>
    <t>&lt;-- Upisati ovde datum kada je isporučena roba ili izvršena usluga!</t>
  </si>
  <si>
    <t>&lt;-- Upisati ovde datum kada je fakturisana roba ili usluga. Mora se fakturisati u istom mesecu i ne kasnije od tri dana od dana obavljanja prometa!</t>
  </si>
  <si>
    <t>IDF:</t>
  </si>
  <si>
    <t>Obračunati PDV 20%:</t>
  </si>
  <si>
    <t>Kneza Stracimira 21, 11000 Beograd</t>
  </si>
  <si>
    <t>Mesto izdavanja fakture:</t>
  </si>
  <si>
    <t>Beograd</t>
  </si>
  <si>
    <t xml:space="preserve">Broj Računa: 265-3300310037518-73 Raiffeisen banka, 165-7008476637-07 Addiko Bank,
325-9500500214621-25 OTP Banka, 155-28298-88 Halkbank, 205-0000000522417-66 NLB Banka,
170-30031863000-96 UniCredit Bank, 250-1440001815770-94 Eurobank, 220-142571-52 ProCredit Bank
</t>
  </si>
  <si>
    <t>90 dana po prijemu fakture</t>
  </si>
  <si>
    <t>1</t>
  </si>
  <si>
    <t>S951E</t>
  </si>
  <si>
    <t>Yaw. Manžetna višekratna, za odrasle, 16cm x 33-45cm</t>
  </si>
  <si>
    <t>2</t>
  </si>
  <si>
    <t>3</t>
  </si>
  <si>
    <t>4</t>
  </si>
  <si>
    <t>5</t>
  </si>
  <si>
    <t>S902</t>
  </si>
  <si>
    <t>YN-901P Priključno crevo za NIBP, za odrasle i decu, 3.5m</t>
  </si>
  <si>
    <t>P225F</t>
  </si>
  <si>
    <t>TL-201T SpO2 Sonda za odrasle i decu &gt;20 kg, za prst</t>
  </si>
  <si>
    <t>K922</t>
  </si>
  <si>
    <t>JC-906P Adapterski kabl za EKG, 3/6 vodova, 3m</t>
  </si>
  <si>
    <t>K911</t>
  </si>
  <si>
    <t>BR-903P Pacijentski EKG kabl, 3 voda, 0.8m</t>
  </si>
  <si>
    <t>Aleksandar Peric</t>
  </si>
  <si>
    <r>
      <t xml:space="preserve">155-28298-88 Halkbank
265-3300310037518-73 Raiffeisen banka
250-1440001815770-94 Eurobank
325-9500500214621-25 OTP Banka
poziv na broj: </t>
    </r>
    <r>
      <rPr>
        <sz val="10"/>
        <color rgb="FFFF0000"/>
        <rFont val="Arial Narrow"/>
        <family val="2"/>
        <charset val="238"/>
      </rPr>
      <t>FK1624/25</t>
    </r>
  </si>
  <si>
    <r>
      <t xml:space="preserve">FAKTURA br. </t>
    </r>
    <r>
      <rPr>
        <b/>
        <sz val="12"/>
        <color rgb="FFFF0000"/>
        <rFont val="Arial Narrow"/>
        <family val="2"/>
        <charset val="238"/>
      </rPr>
      <t>1624/25</t>
    </r>
  </si>
  <si>
    <r>
      <t xml:space="preserve">Porudžbenice br </t>
    </r>
    <r>
      <rPr>
        <sz val="10"/>
        <color rgb="FFFF0000"/>
        <rFont val="Arial Narrow"/>
        <family val="2"/>
        <charset val="238"/>
      </rPr>
      <t>025</t>
    </r>
    <r>
      <rPr>
        <sz val="10"/>
        <rFont val="Arial Narrow"/>
        <family val="2"/>
      </rPr>
      <t xml:space="preserve"> i ugovora </t>
    </r>
    <r>
      <rPr>
        <sz val="10"/>
        <color rgb="FFFF0000"/>
        <rFont val="Arial Narrow"/>
        <family val="2"/>
        <charset val="238"/>
      </rPr>
      <t>7770</t>
    </r>
    <r>
      <rPr>
        <sz val="10"/>
        <rFont val="Arial Narrow"/>
        <family val="2"/>
      </rPr>
      <t xml:space="preserve"> od </t>
    </r>
    <r>
      <rPr>
        <sz val="10"/>
        <color rgb="FFFF0000"/>
        <rFont val="Arial Narrow"/>
        <family val="2"/>
        <charset val="238"/>
      </rPr>
      <t>10.04.2025</t>
    </r>
    <r>
      <rPr>
        <sz val="10"/>
        <rFont val="Arial Narrow"/>
        <family val="2"/>
      </rPr>
      <t xml:space="preserve">, otpremnice br. </t>
    </r>
    <r>
      <rPr>
        <sz val="10"/>
        <color rgb="FFFF0000"/>
        <rFont val="Arial Narrow"/>
        <family val="2"/>
        <charset val="238"/>
      </rPr>
      <t>783/25</t>
    </r>
  </si>
  <si>
    <t>INFORMACIJE O KUPCU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</si>
</sst>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\ &quot;kn&quot;_-;\-* #,##0\ &quot;kn&quot;_-;_-* &quot;-&quot;\ &quot;kn&quot;_-;_-@_-"/>
    <numFmt numFmtId="165" formatCode="#,##0.00\ &quot;kn&quot;"/>
    <numFmt numFmtId="166" formatCode="#,##0.00\ [$€-1]"/>
    <numFmt numFmtId="167" formatCode="#,##0\ &quot;€&quot;"/>
    <numFmt numFmtId="168" formatCode="#,##0.\-\ [$Din.-C1A]"/>
    <numFmt numFmtId="169" formatCode="#,##0\ _€"/>
    <numFmt numFmtId="170" formatCode="\(0.0%\)"/>
    <numFmt numFmtId="171" formatCode="#,##0.00\ _€"/>
  </numFmts>
  <fonts count="16" x14ac:knownFonts="1">
    <font>
      <sz val="10"/>
      <name val="Arial"/>
      <charset val="238"/>
    </font>
    <font>
      <sz val="10"/>
      <name val="Arial"/>
      <family val="2"/>
    </font>
    <font>
      <b/>
      <sz val="12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10"/>
      <name val="Arial Narrow"/>
      <family val="2"/>
    </font>
    <font>
      <b/>
      <sz val="10"/>
      <color indexed="10"/>
      <name val="Arial Narrow"/>
      <family val="2"/>
    </font>
    <font>
      <b/>
      <sz val="8"/>
      <color indexed="81"/>
      <name val="Tahoma"/>
      <family val="2"/>
    </font>
    <font>
      <b/>
      <sz val="14"/>
      <name val="Arial Narrow"/>
      <family val="2"/>
    </font>
    <font>
      <sz val="12"/>
      <name val="Arial Narrow"/>
      <family val="2"/>
    </font>
    <font>
      <sz val="10"/>
      <color indexed="55"/>
      <name val="Arial Narrow"/>
      <family val="2"/>
    </font>
    <font>
      <b/>
      <sz val="10"/>
      <color indexed="16"/>
      <name val="Arial"/>
      <family val="2"/>
    </font>
    <font>
      <sz val="8"/>
      <color indexed="81"/>
      <name val="Tahoma"/>
      <family val="2"/>
    </font>
    <font>
      <sz val="10"/>
      <color rgb="FFFF0000"/>
      <name val="Arial Narrow"/>
      <family val="2"/>
      <charset val="238"/>
    </font>
    <font>
      <b/>
      <sz val="12"/>
      <color rgb="FFFF0000"/>
      <name val="Arial Narrow"/>
      <family val="2"/>
      <charset val="238"/>
    </font>
    <font>
      <sz val="10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10"/>
      </bottom>
      <diagonal/>
    </border>
    <border>
      <left/>
      <right/>
      <top style="mediumDashed">
        <color indexed="10"/>
      </top>
      <bottom/>
      <diagonal/>
    </border>
    <border>
      <left/>
      <right/>
      <top/>
      <bottom style="mediumDashed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167" fontId="5" fillId="0" borderId="2" xfId="1" applyNumberFormat="1" applyFont="1" applyBorder="1" applyAlignment="1">
      <alignment horizontal="right" vertical="top"/>
    </xf>
    <xf numFmtId="0" fontId="3" fillId="2" borderId="0" xfId="0" applyFont="1" applyFill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49" fontId="3" fillId="0" borderId="1" xfId="0" applyNumberFormat="1" applyFont="1" applyBorder="1" applyAlignment="1">
      <alignment horizontal="center" vertical="top"/>
    </xf>
    <xf numFmtId="165" fontId="3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4" xfId="0" applyFont="1" applyBorder="1" applyAlignment="1">
      <alignment vertical="top"/>
    </xf>
    <xf numFmtId="9" fontId="5" fillId="0" borderId="2" xfId="2" applyFont="1" applyBorder="1" applyAlignment="1">
      <alignment horizontal="right" vertical="top"/>
    </xf>
    <xf numFmtId="167" fontId="6" fillId="0" borderId="0" xfId="1" applyNumberFormat="1" applyFont="1" applyAlignment="1">
      <alignment horizontal="right" vertical="top"/>
    </xf>
    <xf numFmtId="167" fontId="6" fillId="0" borderId="0" xfId="1" applyNumberFormat="1" applyFont="1" applyBorder="1" applyAlignment="1">
      <alignment horizontal="right" vertical="top"/>
    </xf>
    <xf numFmtId="167" fontId="5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165" fontId="3" fillId="0" borderId="1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165" fontId="5" fillId="0" borderId="3" xfId="0" applyNumberFormat="1" applyFont="1" applyBorder="1" applyAlignment="1">
      <alignment horizontal="left" vertical="top"/>
    </xf>
    <xf numFmtId="165" fontId="5" fillId="0" borderId="0" xfId="0" applyNumberFormat="1" applyFont="1" applyAlignment="1">
      <alignment horizontal="left" vertical="top"/>
    </xf>
    <xf numFmtId="165" fontId="5" fillId="0" borderId="4" xfId="0" applyNumberFormat="1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9" fontId="5" fillId="0" borderId="4" xfId="2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168" fontId="4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65" fontId="3" fillId="0" borderId="7" xfId="0" applyNumberFormat="1" applyFont="1" applyBorder="1" applyAlignment="1">
      <alignment horizontal="left" vertical="top"/>
    </xf>
    <xf numFmtId="167" fontId="6" fillId="0" borderId="0" xfId="0" applyNumberFormat="1" applyFont="1" applyAlignment="1">
      <alignment horizontal="center" vertical="top"/>
    </xf>
    <xf numFmtId="170" fontId="5" fillId="0" borderId="0" xfId="2" applyNumberFormat="1" applyFont="1" applyBorder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8" fillId="0" borderId="0" xfId="0" applyFont="1" applyAlignment="1">
      <alignment vertical="top"/>
    </xf>
    <xf numFmtId="4" fontId="3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167" fontId="5" fillId="0" borderId="0" xfId="0" applyNumberFormat="1" applyFont="1" applyAlignment="1">
      <alignment horizontal="right" vertical="top"/>
    </xf>
    <xf numFmtId="165" fontId="3" fillId="0" borderId="9" xfId="0" applyNumberFormat="1" applyFont="1" applyBorder="1" applyAlignment="1">
      <alignment vertical="top"/>
    </xf>
    <xf numFmtId="0" fontId="0" fillId="0" borderId="9" xfId="0" applyBorder="1" applyAlignment="1">
      <alignment vertical="top"/>
    </xf>
    <xf numFmtId="167" fontId="5" fillId="0" borderId="7" xfId="1" applyNumberFormat="1" applyFont="1" applyBorder="1" applyAlignment="1">
      <alignment horizontal="right" vertical="top"/>
    </xf>
    <xf numFmtId="167" fontId="5" fillId="0" borderId="0" xfId="1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3" fillId="0" borderId="0" xfId="2" applyNumberFormat="1" applyFont="1" applyFill="1" applyBorder="1" applyAlignment="1">
      <alignment horizontal="center" vertical="top"/>
    </xf>
    <xf numFmtId="166" fontId="4" fillId="0" borderId="0" xfId="0" applyNumberFormat="1" applyFont="1" applyAlignment="1">
      <alignment horizontal="right" vertical="top"/>
    </xf>
    <xf numFmtId="49" fontId="3" fillId="0" borderId="10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top"/>
    </xf>
    <xf numFmtId="169" fontId="5" fillId="0" borderId="10" xfId="0" applyNumberFormat="1" applyFont="1" applyBorder="1" applyAlignment="1">
      <alignment horizontal="right" vertical="top"/>
    </xf>
    <xf numFmtId="167" fontId="5" fillId="0" borderId="11" xfId="0" applyNumberFormat="1" applyFont="1" applyBorder="1" applyAlignment="1">
      <alignment horizontal="right" vertical="top"/>
    </xf>
    <xf numFmtId="9" fontId="5" fillId="0" borderId="11" xfId="2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0" fontId="5" fillId="0" borderId="0" xfId="0" applyFont="1" applyAlignment="1">
      <alignment vertical="top"/>
    </xf>
    <xf numFmtId="4" fontId="4" fillId="0" borderId="9" xfId="0" applyNumberFormat="1" applyFont="1" applyBorder="1" applyAlignment="1">
      <alignment horizontal="right" vertical="top"/>
    </xf>
    <xf numFmtId="14" fontId="3" fillId="0" borderId="0" xfId="0" applyNumberFormat="1" applyFont="1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170" fontId="6" fillId="0" borderId="0" xfId="2" applyNumberFormat="1" applyFont="1" applyBorder="1" applyAlignment="1">
      <alignment horizontal="center" vertical="top"/>
    </xf>
    <xf numFmtId="4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wrapText="1"/>
    </xf>
    <xf numFmtId="2" fontId="6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left" vertical="top"/>
    </xf>
    <xf numFmtId="4" fontId="11" fillId="0" borderId="0" xfId="0" applyNumberFormat="1" applyFont="1" applyAlignment="1">
      <alignment horizontal="left" vertical="top"/>
    </xf>
    <xf numFmtId="4" fontId="3" fillId="0" borderId="8" xfId="0" applyNumberFormat="1" applyFont="1" applyBorder="1" applyAlignment="1">
      <alignment horizontal="right" vertical="top"/>
    </xf>
    <xf numFmtId="9" fontId="5" fillId="0" borderId="7" xfId="2" applyFont="1" applyBorder="1" applyAlignment="1">
      <alignment horizontal="right" vertical="top"/>
    </xf>
    <xf numFmtId="4" fontId="3" fillId="0" borderId="12" xfId="0" applyNumberFormat="1" applyFont="1" applyBorder="1" applyAlignment="1">
      <alignment horizontal="right" vertical="top"/>
    </xf>
    <xf numFmtId="167" fontId="5" fillId="0" borderId="10" xfId="0" applyNumberFormat="1" applyFont="1" applyBorder="1" applyAlignment="1">
      <alignment horizontal="right" vertical="top"/>
    </xf>
    <xf numFmtId="2" fontId="5" fillId="0" borderId="10" xfId="2" applyNumberFormat="1" applyFont="1" applyBorder="1" applyAlignment="1">
      <alignment horizontal="right" vertical="top"/>
    </xf>
    <xf numFmtId="4" fontId="3" fillId="0" borderId="11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horizontal="center" vertical="top"/>
    </xf>
    <xf numFmtId="0" fontId="3" fillId="0" borderId="8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top"/>
    </xf>
    <xf numFmtId="171" fontId="5" fillId="0" borderId="6" xfId="0" applyNumberFormat="1" applyFont="1" applyBorder="1" applyAlignment="1">
      <alignment horizontal="right" vertical="top"/>
    </xf>
    <xf numFmtId="9" fontId="5" fillId="0" borderId="6" xfId="2" applyFont="1" applyBorder="1" applyAlignment="1">
      <alignment horizontal="right" vertical="top"/>
    </xf>
    <xf numFmtId="2" fontId="5" fillId="0" borderId="6" xfId="2" applyNumberFormat="1" applyFont="1" applyBorder="1" applyAlignment="1">
      <alignment horizontal="right" vertical="top"/>
    </xf>
    <xf numFmtId="167" fontId="5" fillId="0" borderId="6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 wrapText="1"/>
    </xf>
    <xf numFmtId="49" fontId="3" fillId="0" borderId="13" xfId="0" applyNumberFormat="1" applyFont="1" applyBorder="1" applyAlignment="1">
      <alignment vertical="top" wrapText="1"/>
    </xf>
    <xf numFmtId="14" fontId="15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6" fillId="0" borderId="3" xfId="0" applyFont="1" applyBorder="1" applyAlignment="1">
      <alignment horizontal="left" vertical="top"/>
    </xf>
  </cellXfs>
  <cellStyles count="3">
    <cellStyle name="Currency [0]" xfId="1" builtinId="7"/>
    <cellStyle name="Normal" xfId="0" builtinId="0"/>
    <cellStyle name="Percent" xfId="2" builtinId="5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8"/>
  <sheetViews>
    <sheetView tabSelected="1" topLeftCell="A16" zoomScale="130" zoomScaleNormal="130" zoomScaleSheetLayoutView="100" workbookViewId="0">
      <selection activeCell="D27" sqref="D27"/>
    </sheetView>
  </sheetViews>
  <sheetFormatPr defaultColWidth="9.140625" defaultRowHeight="12.75" x14ac:dyDescent="0.2"/>
  <cols>
    <col min="1" max="1" width="0.7109375" style="1" customWidth="1"/>
    <col min="2" max="2" width="4.42578125" style="1" customWidth="1"/>
    <col min="3" max="3" width="14.28515625" style="1" customWidth="1"/>
    <col min="4" max="4" width="45" style="1" customWidth="1"/>
    <col min="5" max="5" width="3.7109375" style="25" customWidth="1"/>
    <col min="6" max="6" width="9.42578125" style="25" customWidth="1"/>
    <col min="7" max="7" width="7.28515625" style="25" customWidth="1"/>
    <col min="8" max="8" width="6.85546875" style="25" customWidth="1"/>
    <col min="9" max="10" width="7.28515625" style="25" customWidth="1"/>
    <col min="11" max="11" width="7.42578125" style="25" customWidth="1"/>
    <col min="12" max="12" width="9.42578125" style="25" customWidth="1"/>
    <col min="13" max="13" width="13.5703125" style="15" customWidth="1"/>
    <col min="14" max="14" width="13.7109375" style="15" customWidth="1"/>
    <col min="15" max="16384" width="9.140625" style="1"/>
  </cols>
  <sheetData>
    <row r="1" spans="1:17" ht="13.5" thickBot="1" x14ac:dyDescent="0.25">
      <c r="B1" s="2"/>
      <c r="C1" s="17"/>
      <c r="D1" s="17"/>
      <c r="E1" s="17"/>
      <c r="F1" s="38"/>
      <c r="G1" s="38"/>
      <c r="H1" s="38"/>
      <c r="I1" s="12" t="s">
        <v>15</v>
      </c>
      <c r="J1" s="38"/>
      <c r="K1" s="38"/>
      <c r="L1" s="38"/>
      <c r="M1" s="29"/>
      <c r="N1" s="29"/>
    </row>
    <row r="2" spans="1:17" x14ac:dyDescent="0.2">
      <c r="A2" s="16"/>
      <c r="B2" s="99" t="s">
        <v>19</v>
      </c>
      <c r="C2" s="99"/>
      <c r="D2" s="36" t="s">
        <v>18</v>
      </c>
      <c r="E2" s="37"/>
      <c r="F2" s="39"/>
      <c r="G2" s="39"/>
      <c r="H2" s="39"/>
      <c r="I2" s="12" t="s">
        <v>16</v>
      </c>
      <c r="J2" s="39"/>
      <c r="K2" s="39"/>
      <c r="L2" s="39"/>
      <c r="M2" s="30"/>
      <c r="N2" s="30"/>
    </row>
    <row r="3" spans="1:17" x14ac:dyDescent="0.2">
      <c r="B3" s="33"/>
      <c r="C3" s="33"/>
      <c r="D3" s="33"/>
      <c r="E3" s="17"/>
      <c r="F3" s="2"/>
      <c r="G3" s="2"/>
      <c r="H3" s="2"/>
      <c r="I3" s="2"/>
      <c r="J3" s="2"/>
      <c r="K3" s="2"/>
      <c r="L3" s="2"/>
      <c r="M3" s="31"/>
      <c r="N3" s="31"/>
    </row>
    <row r="4" spans="1:17" x14ac:dyDescent="0.2">
      <c r="B4" s="93" t="s">
        <v>7</v>
      </c>
      <c r="C4" s="93"/>
      <c r="D4" s="17" t="s">
        <v>21</v>
      </c>
      <c r="E4" s="17"/>
      <c r="F4" s="17"/>
      <c r="G4" s="17"/>
      <c r="H4" s="17"/>
      <c r="I4" s="17"/>
      <c r="J4" s="17"/>
      <c r="K4" s="17"/>
      <c r="L4" s="17"/>
      <c r="M4" s="31"/>
      <c r="N4" s="31"/>
    </row>
    <row r="5" spans="1:17" x14ac:dyDescent="0.2">
      <c r="B5" s="93" t="s">
        <v>22</v>
      </c>
      <c r="C5" s="93"/>
      <c r="D5" s="17" t="s">
        <v>24</v>
      </c>
      <c r="E5" s="17"/>
      <c r="F5" s="17"/>
      <c r="G5" s="17"/>
      <c r="H5" s="17"/>
      <c r="I5" s="17"/>
      <c r="J5" s="17"/>
      <c r="K5" s="17"/>
      <c r="L5" s="17"/>
      <c r="M5" s="31"/>
      <c r="N5" s="31"/>
    </row>
    <row r="6" spans="1:17" x14ac:dyDescent="0.2">
      <c r="B6" s="93" t="s">
        <v>11</v>
      </c>
      <c r="C6" s="93"/>
      <c r="D6" s="17" t="s">
        <v>20</v>
      </c>
      <c r="E6" s="17"/>
      <c r="F6" s="17"/>
      <c r="G6" s="17"/>
      <c r="H6" s="17"/>
      <c r="I6" s="17"/>
      <c r="J6" s="17"/>
      <c r="K6" s="17"/>
      <c r="L6" s="17"/>
      <c r="M6" s="31"/>
      <c r="N6" s="31"/>
    </row>
    <row r="7" spans="1:17" x14ac:dyDescent="0.2">
      <c r="B7" s="93" t="s">
        <v>6</v>
      </c>
      <c r="C7" s="93"/>
      <c r="D7" s="17" t="s">
        <v>23</v>
      </c>
      <c r="E7" s="17"/>
      <c r="F7" s="17"/>
      <c r="G7" s="17"/>
      <c r="H7" s="17"/>
      <c r="I7" s="17"/>
      <c r="J7" s="17"/>
      <c r="K7" s="17"/>
      <c r="L7" s="17"/>
      <c r="M7" s="31"/>
      <c r="N7" s="31"/>
    </row>
    <row r="8" spans="1:17" x14ac:dyDescent="0.2">
      <c r="B8" s="17" t="s">
        <v>9</v>
      </c>
      <c r="C8" s="17"/>
      <c r="D8" s="17" t="s">
        <v>26</v>
      </c>
      <c r="E8" s="17"/>
      <c r="F8" s="17"/>
      <c r="G8" s="17"/>
      <c r="H8" s="17"/>
      <c r="I8" s="17"/>
      <c r="J8" s="17"/>
      <c r="K8" s="17"/>
      <c r="L8" s="17"/>
      <c r="M8" s="31"/>
      <c r="N8" s="31"/>
    </row>
    <row r="9" spans="1:17" x14ac:dyDescent="0.2">
      <c r="B9" s="17" t="s">
        <v>27</v>
      </c>
      <c r="C9" s="17"/>
      <c r="D9" s="17" t="s">
        <v>32</v>
      </c>
      <c r="E9" s="17"/>
      <c r="F9" s="17"/>
      <c r="G9" s="17"/>
      <c r="H9" s="17"/>
      <c r="I9" s="17"/>
      <c r="J9" s="17"/>
      <c r="K9" s="17"/>
      <c r="L9" s="17"/>
      <c r="M9" s="31"/>
      <c r="N9" s="31"/>
    </row>
    <row r="10" spans="1:17" x14ac:dyDescent="0.2">
      <c r="B10" s="17" t="s">
        <v>10</v>
      </c>
      <c r="C10" s="17"/>
      <c r="D10" s="17" t="s">
        <v>25</v>
      </c>
      <c r="E10" s="17"/>
      <c r="F10" s="17"/>
      <c r="G10" s="17"/>
      <c r="H10" s="17"/>
      <c r="I10" s="17"/>
      <c r="J10" s="17"/>
      <c r="K10" s="17"/>
      <c r="L10" s="17"/>
      <c r="M10" s="31"/>
      <c r="N10" s="31"/>
      <c r="Q10" s="1" t="s">
        <v>38</v>
      </c>
    </row>
    <row r="11" spans="1:17" x14ac:dyDescent="0.2">
      <c r="B11" s="17" t="s">
        <v>12</v>
      </c>
      <c r="C11" s="17"/>
      <c r="D11" s="17" t="s">
        <v>28</v>
      </c>
      <c r="E11" s="17"/>
      <c r="F11" s="17"/>
      <c r="G11" s="17"/>
      <c r="H11" s="17"/>
      <c r="I11" s="17"/>
      <c r="J11" s="17"/>
      <c r="K11" s="17"/>
      <c r="L11" s="17"/>
      <c r="M11" s="31"/>
      <c r="N11" s="31"/>
      <c r="Q11" s="1" t="s">
        <v>39</v>
      </c>
    </row>
    <row r="12" spans="1:17" x14ac:dyDescent="0.2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31"/>
      <c r="N12" s="31"/>
    </row>
    <row r="13" spans="1:17" x14ac:dyDescent="0.2">
      <c r="B13" s="33" t="s">
        <v>29</v>
      </c>
      <c r="C13" s="33"/>
      <c r="D13" s="74">
        <v>1</v>
      </c>
      <c r="E13" s="17"/>
      <c r="F13" s="17"/>
      <c r="G13" s="17"/>
      <c r="H13" s="17"/>
      <c r="I13" s="17"/>
      <c r="J13" s="17"/>
      <c r="K13" s="17"/>
      <c r="L13" s="17"/>
      <c r="M13" s="31"/>
      <c r="N13" s="31"/>
    </row>
    <row r="14" spans="1:17" x14ac:dyDescent="0.2">
      <c r="B14" s="33" t="s">
        <v>30</v>
      </c>
      <c r="C14" s="33"/>
      <c r="D14" s="72">
        <v>125</v>
      </c>
      <c r="E14" s="17"/>
      <c r="F14" s="17"/>
      <c r="G14" s="17"/>
      <c r="H14" s="17"/>
      <c r="I14" s="17"/>
      <c r="J14" s="17"/>
      <c r="K14" s="17"/>
      <c r="L14" s="17"/>
      <c r="M14" s="31"/>
      <c r="N14" s="31"/>
    </row>
    <row r="15" spans="1:17" x14ac:dyDescent="0.2">
      <c r="B15" s="33" t="s">
        <v>14</v>
      </c>
      <c r="C15" s="33"/>
      <c r="D15" s="72">
        <v>1.1000000000000001</v>
      </c>
      <c r="E15" s="17"/>
      <c r="F15" s="17"/>
      <c r="G15" s="17"/>
      <c r="H15" s="17"/>
      <c r="I15" s="17"/>
      <c r="J15" s="17"/>
      <c r="K15" s="17"/>
      <c r="L15" s="17"/>
      <c r="M15" s="31"/>
      <c r="N15" s="31"/>
    </row>
    <row r="16" spans="1:17" ht="13.5" thickBot="1" x14ac:dyDescent="0.25">
      <c r="A16" s="18"/>
      <c r="B16" s="34"/>
      <c r="C16" s="34"/>
      <c r="D16" s="35"/>
      <c r="E16" s="34"/>
      <c r="F16" s="34"/>
      <c r="G16" s="34"/>
      <c r="H16" s="34"/>
      <c r="I16" s="34"/>
      <c r="J16" s="34"/>
      <c r="K16" s="34"/>
      <c r="L16" s="34"/>
      <c r="M16" s="32"/>
      <c r="N16" s="32"/>
    </row>
    <row r="17" spans="2:15" ht="18" x14ac:dyDescent="0.2">
      <c r="B17" s="17"/>
      <c r="C17" s="17"/>
      <c r="D17" s="46" t="s">
        <v>36</v>
      </c>
      <c r="E17" s="17"/>
      <c r="F17" s="17"/>
      <c r="G17" s="17"/>
      <c r="H17" s="17"/>
      <c r="I17" s="17"/>
      <c r="J17" s="17"/>
      <c r="K17" s="17"/>
      <c r="L17" s="17"/>
      <c r="M17" s="31"/>
      <c r="N17" s="31"/>
    </row>
    <row r="18" spans="2:15" ht="49.5" customHeight="1" x14ac:dyDescent="0.2">
      <c r="B18" s="96" t="s">
        <v>59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</row>
    <row r="19" spans="2:15" x14ac:dyDescent="0.2">
      <c r="E19" s="17"/>
      <c r="F19" s="17"/>
      <c r="G19" s="17"/>
      <c r="H19" s="17"/>
      <c r="I19" s="17"/>
      <c r="J19" s="17"/>
      <c r="K19" s="17"/>
      <c r="L19" s="17"/>
      <c r="M19" s="31"/>
      <c r="N19" s="31"/>
    </row>
    <row r="20" spans="2:15" x14ac:dyDescent="0.2">
      <c r="E20" s="17"/>
      <c r="F20" s="17"/>
      <c r="G20" s="17"/>
      <c r="H20" s="17"/>
      <c r="I20" s="17"/>
      <c r="J20" s="17"/>
      <c r="K20" s="17"/>
      <c r="L20" s="17"/>
      <c r="M20" s="31"/>
      <c r="N20" s="31"/>
    </row>
    <row r="21" spans="2:15" ht="15.75" x14ac:dyDescent="0.2">
      <c r="B21" s="6"/>
      <c r="C21" s="6"/>
      <c r="D21" s="5" t="s">
        <v>78</v>
      </c>
      <c r="E21" s="5"/>
      <c r="F21" s="5"/>
      <c r="G21" s="2"/>
      <c r="H21" s="2"/>
      <c r="I21" s="2"/>
      <c r="J21" s="2"/>
      <c r="K21" s="2"/>
      <c r="L21" s="2"/>
      <c r="M21" s="2"/>
      <c r="N21" s="2"/>
    </row>
    <row r="22" spans="2:15" ht="12.75" customHeight="1" x14ac:dyDescent="0.2">
      <c r="D22" s="2"/>
      <c r="E22" s="2" t="s">
        <v>8</v>
      </c>
      <c r="F22" s="9"/>
      <c r="G22" s="2"/>
      <c r="H22" s="2"/>
      <c r="I22" s="2"/>
      <c r="J22" s="2"/>
      <c r="K22" s="2"/>
      <c r="L22" s="2"/>
      <c r="M22" s="98" t="s">
        <v>80</v>
      </c>
      <c r="N22" s="98"/>
    </row>
    <row r="23" spans="2:15" ht="25.5" x14ac:dyDescent="0.2">
      <c r="B23" s="13" t="s">
        <v>35</v>
      </c>
      <c r="D23" s="3" t="s">
        <v>79</v>
      </c>
      <c r="E23" s="1"/>
      <c r="F23" s="2"/>
      <c r="G23" s="9"/>
      <c r="H23" s="9"/>
      <c r="I23" s="2"/>
      <c r="J23" s="2"/>
      <c r="K23" s="2"/>
      <c r="L23" s="2"/>
      <c r="M23" s="98"/>
      <c r="N23" s="98"/>
    </row>
    <row r="24" spans="2:15" x14ac:dyDescent="0.2">
      <c r="E24" s="2"/>
      <c r="F24" s="2"/>
      <c r="G24" s="2"/>
      <c r="H24" s="2"/>
      <c r="I24" s="2"/>
      <c r="J24" s="2"/>
      <c r="K24" s="2"/>
      <c r="L24" s="2"/>
      <c r="M24" s="98"/>
      <c r="N24" s="98"/>
    </row>
    <row r="25" spans="2:15" ht="13.5" customHeight="1" x14ac:dyDescent="0.2">
      <c r="B25" s="98" t="s">
        <v>42</v>
      </c>
      <c r="C25" s="98"/>
      <c r="D25" s="90">
        <v>45968</v>
      </c>
      <c r="E25" s="2"/>
      <c r="F25" s="2"/>
      <c r="G25" s="2"/>
      <c r="H25" s="2"/>
      <c r="I25" s="2"/>
      <c r="J25" s="2"/>
      <c r="K25" s="2"/>
      <c r="L25" s="2"/>
      <c r="M25" s="98"/>
      <c r="N25" s="98"/>
      <c r="O25" s="65" t="s">
        <v>52</v>
      </c>
    </row>
    <row r="26" spans="2:15" ht="13.5" customHeight="1" x14ac:dyDescent="0.2">
      <c r="B26" s="98" t="s">
        <v>46</v>
      </c>
      <c r="C26" s="98"/>
      <c r="D26" s="90">
        <v>45968</v>
      </c>
      <c r="E26" s="2"/>
      <c r="F26" s="2"/>
      <c r="G26" s="2"/>
      <c r="H26" s="2"/>
      <c r="I26" s="2"/>
      <c r="J26" s="2"/>
      <c r="K26" s="2"/>
      <c r="L26" s="2"/>
      <c r="M26" s="98"/>
      <c r="N26" s="98"/>
      <c r="O26" s="65" t="s">
        <v>53</v>
      </c>
    </row>
    <row r="27" spans="2:15" ht="13.5" customHeight="1" x14ac:dyDescent="0.2">
      <c r="B27" s="98" t="s">
        <v>57</v>
      </c>
      <c r="C27" s="98"/>
      <c r="D27" s="67" t="s">
        <v>58</v>
      </c>
      <c r="E27" s="2"/>
      <c r="F27" s="2"/>
      <c r="G27" s="2"/>
      <c r="H27" s="2"/>
      <c r="I27" s="2"/>
      <c r="J27" s="2"/>
      <c r="K27" s="2"/>
      <c r="L27" s="2"/>
      <c r="M27" s="98"/>
      <c r="N27" s="98"/>
      <c r="O27" s="65"/>
    </row>
    <row r="28" spans="2:15" ht="11.25" customHeight="1" x14ac:dyDescent="0.2">
      <c r="B28" s="2"/>
      <c r="C28" s="5"/>
      <c r="D28" s="5"/>
      <c r="E28" s="2"/>
      <c r="F28" s="2"/>
      <c r="G28" s="2"/>
      <c r="H28" s="2"/>
      <c r="I28" s="2"/>
      <c r="J28" s="2"/>
      <c r="K28" s="2"/>
      <c r="L28" s="2"/>
      <c r="M28" s="98"/>
      <c r="N28" s="98"/>
    </row>
    <row r="29" spans="2:15" ht="12.75" customHeight="1" x14ac:dyDescent="0.2">
      <c r="B29" s="14" t="s">
        <v>0</v>
      </c>
      <c r="C29" s="23" t="s">
        <v>13</v>
      </c>
      <c r="D29" s="23" t="s">
        <v>1</v>
      </c>
      <c r="E29" s="4" t="s">
        <v>2</v>
      </c>
      <c r="F29" s="24" t="s">
        <v>7</v>
      </c>
      <c r="G29" s="24" t="s">
        <v>22</v>
      </c>
      <c r="H29" s="24" t="s">
        <v>31</v>
      </c>
      <c r="I29" s="24" t="s">
        <v>6</v>
      </c>
      <c r="J29" s="24" t="s">
        <v>9</v>
      </c>
      <c r="K29" s="24" t="s">
        <v>27</v>
      </c>
      <c r="L29" s="24" t="s">
        <v>10</v>
      </c>
      <c r="M29" s="27" t="s">
        <v>3</v>
      </c>
      <c r="N29" s="28" t="s">
        <v>4</v>
      </c>
    </row>
    <row r="30" spans="2:15" x14ac:dyDescent="0.2">
      <c r="B30" s="81" t="s">
        <v>61</v>
      </c>
      <c r="C30" s="82" t="s">
        <v>62</v>
      </c>
      <c r="D30" s="82" t="s">
        <v>63</v>
      </c>
      <c r="E30" s="83">
        <v>3</v>
      </c>
      <c r="F30" s="84">
        <v>40</v>
      </c>
      <c r="G30" s="87">
        <f t="shared" ref="G30" si="0">F30*KURS_IN</f>
        <v>40</v>
      </c>
      <c r="H30" s="85">
        <v>0.4</v>
      </c>
      <c r="I30" s="87">
        <f t="shared" ref="I30:I34" si="1">G30*(1-H30)</f>
        <v>24</v>
      </c>
      <c r="J30" s="85">
        <v>0.43</v>
      </c>
      <c r="K30" s="86">
        <f t="shared" ref="K30" si="2">FAKTOR1</f>
        <v>1.1000000000000001</v>
      </c>
      <c r="L30" s="87">
        <f t="shared" ref="L30:L34" si="3" xml:space="preserve"> I30 / (1-J30) * K30</f>
        <v>46.315789473684212</v>
      </c>
      <c r="M30" s="75">
        <f t="shared" ref="M30" si="4">ROUND(L30*KURS_OUT,0)</f>
        <v>5789</v>
      </c>
      <c r="N30" s="75">
        <f t="shared" ref="N30:N33" si="5">E30*M30</f>
        <v>17367</v>
      </c>
    </row>
    <row r="31" spans="2:15" x14ac:dyDescent="0.2">
      <c r="B31" s="81" t="s">
        <v>64</v>
      </c>
      <c r="C31" s="88" t="s">
        <v>68</v>
      </c>
      <c r="D31" s="82" t="s">
        <v>69</v>
      </c>
      <c r="E31" s="83">
        <v>3</v>
      </c>
      <c r="F31" s="84">
        <v>60</v>
      </c>
      <c r="G31" s="87">
        <f t="shared" ref="G31" si="6">F31*KURS_IN</f>
        <v>60</v>
      </c>
      <c r="H31" s="85">
        <v>0.1</v>
      </c>
      <c r="I31" s="87">
        <f t="shared" si="1"/>
        <v>54</v>
      </c>
      <c r="J31" s="85">
        <v>0.43</v>
      </c>
      <c r="K31" s="86">
        <f t="shared" ref="K31" si="7">FAKTOR1</f>
        <v>1.1000000000000001</v>
      </c>
      <c r="L31" s="87">
        <f t="shared" si="3"/>
        <v>104.21052631578948</v>
      </c>
      <c r="M31" s="75">
        <f t="shared" ref="M31" si="8">ROUND(L31*KURS_OUT,0)</f>
        <v>13026</v>
      </c>
      <c r="N31" s="75">
        <f t="shared" si="5"/>
        <v>39078</v>
      </c>
    </row>
    <row r="32" spans="2:15" x14ac:dyDescent="0.2">
      <c r="B32" s="81" t="s">
        <v>65</v>
      </c>
      <c r="C32" s="88" t="s">
        <v>70</v>
      </c>
      <c r="D32" s="82" t="s">
        <v>71</v>
      </c>
      <c r="E32" s="83">
        <v>3</v>
      </c>
      <c r="F32" s="84">
        <v>150</v>
      </c>
      <c r="G32" s="87">
        <f t="shared" ref="G32" si="9">F32*KURS_IN</f>
        <v>150</v>
      </c>
      <c r="H32" s="85">
        <v>0.48</v>
      </c>
      <c r="I32" s="87">
        <f t="shared" si="1"/>
        <v>78</v>
      </c>
      <c r="J32" s="85">
        <v>0.43</v>
      </c>
      <c r="K32" s="86">
        <f t="shared" ref="K32" si="10">FAKTOR1</f>
        <v>1.1000000000000001</v>
      </c>
      <c r="L32" s="87">
        <f t="shared" si="3"/>
        <v>150.5263157894737</v>
      </c>
      <c r="M32" s="75">
        <f t="shared" ref="M32" si="11">ROUND(L32*KURS_OUT,0)</f>
        <v>18816</v>
      </c>
      <c r="N32" s="75">
        <f t="shared" si="5"/>
        <v>56448</v>
      </c>
    </row>
    <row r="33" spans="2:16" x14ac:dyDescent="0.2">
      <c r="B33" s="81" t="s">
        <v>66</v>
      </c>
      <c r="C33" s="88" t="s">
        <v>72</v>
      </c>
      <c r="D33" s="82" t="s">
        <v>73</v>
      </c>
      <c r="E33" s="83">
        <v>3</v>
      </c>
      <c r="F33" s="84">
        <v>130</v>
      </c>
      <c r="G33" s="87">
        <f>F33*KURS_IN</f>
        <v>130</v>
      </c>
      <c r="H33" s="85">
        <v>0.4</v>
      </c>
      <c r="I33" s="87">
        <f t="shared" si="1"/>
        <v>78</v>
      </c>
      <c r="J33" s="85">
        <v>0.43</v>
      </c>
      <c r="K33" s="86">
        <f>FAKTOR1</f>
        <v>1.1000000000000001</v>
      </c>
      <c r="L33" s="87">
        <f t="shared" si="3"/>
        <v>150.5263157894737</v>
      </c>
      <c r="M33" s="75">
        <f t="shared" ref="M33" si="12">ROUND(L33*KURS_OUT,0)</f>
        <v>18816</v>
      </c>
      <c r="N33" s="75">
        <f t="shared" si="5"/>
        <v>56448</v>
      </c>
    </row>
    <row r="34" spans="2:16" x14ac:dyDescent="0.2">
      <c r="B34" s="81" t="s">
        <v>67</v>
      </c>
      <c r="C34" s="89" t="s">
        <v>74</v>
      </c>
      <c r="D34" s="82" t="s">
        <v>75</v>
      </c>
      <c r="E34" s="83">
        <v>3</v>
      </c>
      <c r="F34" s="84">
        <v>70</v>
      </c>
      <c r="G34" s="87">
        <f>F34*KURS_IN</f>
        <v>70</v>
      </c>
      <c r="H34" s="85">
        <v>0.4</v>
      </c>
      <c r="I34" s="87">
        <f t="shared" si="1"/>
        <v>42</v>
      </c>
      <c r="J34" s="85">
        <v>0.43</v>
      </c>
      <c r="K34" s="86">
        <f>FAKTOR1</f>
        <v>1.1000000000000001</v>
      </c>
      <c r="L34" s="87">
        <f t="shared" si="3"/>
        <v>81.05263157894737</v>
      </c>
      <c r="M34" s="75">
        <f>ROUND(L34*KURS_OUT,0)</f>
        <v>10132</v>
      </c>
      <c r="N34" s="75">
        <f>E34*M34</f>
        <v>30396</v>
      </c>
    </row>
    <row r="35" spans="2:16" x14ac:dyDescent="0.2">
      <c r="B35" s="57"/>
      <c r="C35" s="58"/>
      <c r="D35" s="59"/>
      <c r="E35" s="60"/>
      <c r="F35" s="61"/>
      <c r="G35" s="78">
        <f t="shared" ref="G35" si="13">F35*KURS_IN</f>
        <v>0</v>
      </c>
      <c r="H35" s="63">
        <v>0</v>
      </c>
      <c r="I35" s="62">
        <f t="shared" ref="I35" si="14">G35*(1-H35)</f>
        <v>0</v>
      </c>
      <c r="J35" s="76">
        <v>0</v>
      </c>
      <c r="K35" s="79">
        <f t="shared" ref="K35" si="15">FAKTOR1</f>
        <v>1.1000000000000001</v>
      </c>
      <c r="L35" s="64">
        <f t="shared" ref="L35" si="16" xml:space="preserve"> I35 / (1-J35) * K35</f>
        <v>0</v>
      </c>
      <c r="M35" s="80"/>
      <c r="N35" s="77"/>
    </row>
    <row r="36" spans="2:16" ht="14.25" customHeight="1" x14ac:dyDescent="0.2">
      <c r="B36" s="13"/>
      <c r="C36" s="13"/>
      <c r="D36" s="13" t="s">
        <v>41</v>
      </c>
      <c r="E36" s="2"/>
      <c r="F36" s="2"/>
      <c r="G36" s="22"/>
      <c r="H36" s="49"/>
      <c r="I36" s="52">
        <f t="array" ref="I36">SUM(E30:E35*I30:I35)</f>
        <v>828</v>
      </c>
      <c r="J36" s="21"/>
      <c r="K36" s="21"/>
      <c r="L36" s="53">
        <f t="array" ref="L36">SUM(E30:E35*L30:L35)</f>
        <v>1597.8947368421052</v>
      </c>
      <c r="M36" s="54"/>
      <c r="N36" s="47">
        <f>SUM(N30:N35)</f>
        <v>199737</v>
      </c>
    </row>
    <row r="37" spans="2:16" ht="14.25" customHeight="1" x14ac:dyDescent="0.2">
      <c r="B37" s="13"/>
      <c r="C37" s="13"/>
      <c r="D37" s="13" t="s">
        <v>55</v>
      </c>
      <c r="E37" s="2"/>
      <c r="F37" s="2"/>
      <c r="G37" s="19"/>
      <c r="H37" s="11"/>
      <c r="I37" s="11"/>
      <c r="J37" s="11"/>
      <c r="K37" s="11"/>
      <c r="L37" s="11"/>
      <c r="M37" s="55"/>
      <c r="N37" s="47">
        <f>N36*20%</f>
        <v>39947.4</v>
      </c>
    </row>
    <row r="38" spans="2:16" ht="14.25" customHeight="1" x14ac:dyDescent="0.2">
      <c r="B38" s="13"/>
      <c r="C38" s="13"/>
      <c r="D38" s="8" t="s">
        <v>45</v>
      </c>
      <c r="E38" s="9"/>
      <c r="F38" s="9"/>
      <c r="G38" s="7"/>
      <c r="H38" s="10" t="s">
        <v>5</v>
      </c>
      <c r="I38" s="20">
        <f>SUM(I35:I37)</f>
        <v>828</v>
      </c>
      <c r="J38" s="21" t="s">
        <v>17</v>
      </c>
      <c r="K38" s="21"/>
      <c r="L38" s="20">
        <f>L36+L37</f>
        <v>1597.8947368421052</v>
      </c>
      <c r="M38" s="56"/>
      <c r="N38" s="66">
        <f>N37+N36</f>
        <v>239684.4</v>
      </c>
      <c r="O38" s="65" t="s">
        <v>47</v>
      </c>
      <c r="P38" s="13"/>
    </row>
    <row r="39" spans="2:16" ht="14.25" customHeight="1" x14ac:dyDescent="0.2">
      <c r="B39" s="13"/>
      <c r="C39" s="13"/>
      <c r="D39" s="13"/>
      <c r="E39" s="2"/>
      <c r="F39" s="2"/>
      <c r="G39" s="22"/>
      <c r="H39" s="22"/>
      <c r="I39" s="43" t="s">
        <v>33</v>
      </c>
      <c r="J39" s="43">
        <f>L38-I38</f>
        <v>769.8947368421052</v>
      </c>
      <c r="K39" s="44">
        <f>J39/L38</f>
        <v>0.48181818181818181</v>
      </c>
      <c r="L39" s="22"/>
      <c r="M39" s="56"/>
      <c r="N39" s="47"/>
      <c r="P39" s="13"/>
    </row>
    <row r="40" spans="2:16" ht="13.5" customHeight="1" x14ac:dyDescent="0.2">
      <c r="B40" s="13"/>
      <c r="C40" s="68"/>
      <c r="D40" s="8" t="s">
        <v>48</v>
      </c>
      <c r="E40" s="9"/>
      <c r="F40" s="9"/>
      <c r="G40" s="43"/>
      <c r="H40" s="43"/>
      <c r="I40" s="43"/>
      <c r="J40" s="43"/>
      <c r="K40" s="69"/>
      <c r="L40" s="43"/>
      <c r="M40" s="56"/>
      <c r="N40" s="70">
        <v>0</v>
      </c>
      <c r="O40" s="65" t="s">
        <v>51</v>
      </c>
    </row>
    <row r="41" spans="2:16" x14ac:dyDescent="0.2">
      <c r="B41" s="13"/>
      <c r="C41" s="68"/>
      <c r="D41" s="8" t="s">
        <v>49</v>
      </c>
      <c r="E41" s="9"/>
      <c r="F41" s="9"/>
      <c r="G41" s="43"/>
      <c r="H41" s="43"/>
      <c r="I41" s="43"/>
      <c r="J41" s="43"/>
      <c r="K41" s="69"/>
      <c r="L41" s="43"/>
      <c r="M41" s="56"/>
      <c r="N41" s="70">
        <f>N38-N40</f>
        <v>239684.4</v>
      </c>
    </row>
    <row r="42" spans="2:16" x14ac:dyDescent="0.2">
      <c r="B42" s="13"/>
      <c r="C42" s="13"/>
      <c r="D42" s="8"/>
      <c r="E42" s="2"/>
      <c r="F42" s="2"/>
      <c r="G42" s="22"/>
      <c r="H42" s="22"/>
      <c r="L42" s="22"/>
    </row>
    <row r="43" spans="2:16" x14ac:dyDescent="0.2">
      <c r="B43" s="13"/>
      <c r="C43" s="13"/>
      <c r="D43" s="8"/>
      <c r="E43" s="2"/>
      <c r="F43" s="2"/>
      <c r="G43" s="22"/>
      <c r="H43" s="22"/>
      <c r="L43" s="22"/>
    </row>
    <row r="44" spans="2:16" x14ac:dyDescent="0.2">
      <c r="B44" s="13"/>
      <c r="C44" s="13"/>
      <c r="D44" s="8"/>
      <c r="E44" s="2"/>
      <c r="F44" s="2"/>
      <c r="G44" s="22"/>
      <c r="H44" s="22"/>
      <c r="L44" s="22"/>
    </row>
    <row r="45" spans="2:16" x14ac:dyDescent="0.2">
      <c r="B45" s="13"/>
      <c r="C45" s="13"/>
      <c r="D45" s="13"/>
      <c r="E45" s="2"/>
      <c r="F45" s="2"/>
      <c r="G45" s="22"/>
      <c r="H45" s="22"/>
      <c r="I45" s="43"/>
      <c r="J45" s="43"/>
      <c r="K45" s="44"/>
      <c r="L45" s="22"/>
      <c r="M45" s="40" t="s">
        <v>43</v>
      </c>
      <c r="N45" s="45"/>
    </row>
    <row r="46" spans="2:16" x14ac:dyDescent="0.2">
      <c r="B46" s="8" t="s">
        <v>37</v>
      </c>
      <c r="C46" s="13"/>
      <c r="D46" s="13" t="s">
        <v>60</v>
      </c>
      <c r="E46" s="2"/>
      <c r="F46" s="2"/>
      <c r="G46" s="22"/>
      <c r="H46" s="22"/>
      <c r="I46" s="43"/>
      <c r="J46" s="43"/>
      <c r="K46" s="44"/>
      <c r="L46" s="22"/>
      <c r="M46" s="1"/>
      <c r="N46" s="1"/>
    </row>
    <row r="47" spans="2:16" ht="63.75" x14ac:dyDescent="0.2">
      <c r="B47" s="8" t="s">
        <v>40</v>
      </c>
      <c r="C47" s="13"/>
      <c r="D47" s="71" t="s">
        <v>77</v>
      </c>
      <c r="E47" s="2"/>
      <c r="F47" s="2"/>
      <c r="G47" s="22"/>
      <c r="H47" s="22"/>
      <c r="I47" s="43"/>
      <c r="J47" s="43"/>
      <c r="K47" s="44"/>
      <c r="L47" s="22"/>
      <c r="M47" s="42"/>
      <c r="N47" s="42"/>
    </row>
    <row r="48" spans="2:16" x14ac:dyDescent="0.2">
      <c r="B48" s="9" t="s">
        <v>34</v>
      </c>
      <c r="C48" s="2"/>
      <c r="D48" s="2" t="s">
        <v>50</v>
      </c>
      <c r="E48" s="2"/>
      <c r="F48" s="2"/>
      <c r="G48" s="22"/>
      <c r="H48" s="22"/>
      <c r="I48" s="43"/>
      <c r="J48" s="43"/>
      <c r="K48" s="44"/>
      <c r="L48" s="22"/>
      <c r="M48" s="50" t="s">
        <v>76</v>
      </c>
      <c r="N48" s="51"/>
    </row>
    <row r="49" spans="1:17" x14ac:dyDescent="0.2">
      <c r="B49" s="94" t="s">
        <v>44</v>
      </c>
      <c r="C49" s="95"/>
      <c r="D49" s="3" t="s">
        <v>56</v>
      </c>
      <c r="E49" s="2"/>
      <c r="F49" s="2"/>
      <c r="G49" s="22"/>
      <c r="H49" s="22"/>
      <c r="I49" s="43"/>
      <c r="J49" s="43"/>
      <c r="K49" s="44"/>
      <c r="L49" s="22"/>
      <c r="M49" s="73"/>
      <c r="N49" s="48"/>
      <c r="P49" s="91"/>
      <c r="Q49" s="92"/>
    </row>
    <row r="50" spans="1:17" s="26" customFormat="1" x14ac:dyDescent="0.2">
      <c r="A50" s="9"/>
      <c r="B50" s="9" t="s">
        <v>54</v>
      </c>
      <c r="C50" s="2"/>
      <c r="D50" s="3"/>
      <c r="E50" s="2"/>
      <c r="F50" s="2"/>
      <c r="G50" s="2"/>
      <c r="H50" s="2"/>
      <c r="I50" s="2"/>
      <c r="J50" s="2"/>
      <c r="K50" s="1"/>
      <c r="L50" s="9"/>
      <c r="M50" s="15"/>
      <c r="N50" s="15"/>
    </row>
    <row r="51" spans="1:17" s="26" customFormat="1" x14ac:dyDescent="0.2">
      <c r="A51" s="9"/>
      <c r="B51" s="9"/>
      <c r="C51" s="2"/>
      <c r="D51" s="3"/>
      <c r="E51" s="2"/>
      <c r="F51" s="2"/>
      <c r="G51" s="2"/>
      <c r="H51" s="2"/>
      <c r="I51" s="2"/>
      <c r="J51" s="2"/>
      <c r="K51" s="1"/>
      <c r="L51" s="9"/>
      <c r="M51" s="15"/>
      <c r="N51" s="15"/>
    </row>
    <row r="52" spans="1:17" s="26" customFormat="1" x14ac:dyDescent="0.2">
      <c r="A52" s="9"/>
      <c r="B52" s="9"/>
      <c r="C52" s="2"/>
      <c r="D52" s="3"/>
      <c r="E52" s="2"/>
      <c r="F52" s="2"/>
      <c r="G52" s="2"/>
      <c r="H52" s="2"/>
      <c r="I52" s="2"/>
      <c r="J52" s="2"/>
      <c r="K52" s="1"/>
      <c r="L52" s="9"/>
      <c r="M52" s="15"/>
      <c r="N52" s="15"/>
    </row>
    <row r="53" spans="1:17" x14ac:dyDescent="0.2">
      <c r="A53" s="2"/>
      <c r="D53" s="9"/>
      <c r="E53" s="2"/>
      <c r="F53" s="2"/>
      <c r="G53" s="2"/>
      <c r="H53" s="2"/>
      <c r="I53" s="2"/>
      <c r="J53" s="2"/>
      <c r="K53" s="2"/>
      <c r="L53" s="2"/>
    </row>
    <row r="54" spans="1:17" x14ac:dyDescent="0.2">
      <c r="A54" s="2"/>
      <c r="E54" s="2"/>
      <c r="F54" s="2"/>
      <c r="G54" s="2"/>
      <c r="H54" s="2"/>
      <c r="I54" s="2"/>
      <c r="J54" s="2"/>
      <c r="K54" s="2"/>
      <c r="L54" s="2"/>
      <c r="M54" s="1"/>
      <c r="N54" s="1"/>
    </row>
    <row r="55" spans="1:17" x14ac:dyDescent="0.2">
      <c r="B55" s="9"/>
      <c r="C55" s="41"/>
      <c r="D55" s="3"/>
      <c r="M55" s="1"/>
      <c r="N55" s="1"/>
    </row>
    <row r="58" spans="1:17" x14ac:dyDescent="0.2">
      <c r="M58" s="1"/>
    </row>
  </sheetData>
  <mergeCells count="12">
    <mergeCell ref="B2:C2"/>
    <mergeCell ref="B4:C4"/>
    <mergeCell ref="B5:C5"/>
    <mergeCell ref="B6:C6"/>
    <mergeCell ref="B27:C27"/>
    <mergeCell ref="P49:Q49"/>
    <mergeCell ref="B7:C7"/>
    <mergeCell ref="B49:C49"/>
    <mergeCell ref="B18:N18"/>
    <mergeCell ref="M22:N28"/>
    <mergeCell ref="B26:C26"/>
    <mergeCell ref="B25:C25"/>
  </mergeCells>
  <phoneticPr fontId="0" type="noConversion"/>
  <conditionalFormatting sqref="M49">
    <cfRule type="expression" dxfId="0" priority="1" stopIfTrue="1">
      <formula>M48="Oliver Tomić"</formula>
    </cfRule>
  </conditionalFormatting>
  <printOptions horizontalCentered="1"/>
  <pageMargins left="0.39370078740157483" right="0.39370078740157483" top="1.5748031496062993" bottom="0.98425196850393704" header="0.78740157480314965" footer="0.31496062992125984"/>
  <pageSetup paperSize="9" orientation="portrait" r:id="rId1"/>
  <headerFooter alignWithMargins="0">
    <oddHeader>&amp;R&amp;"Arial,Bold"TRIVAX-722-101.04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8" sqref="F8:G8"/>
    </sheetView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Srpski</vt:lpstr>
      <vt:lpstr>Sheet2</vt:lpstr>
      <vt:lpstr>Sheet3</vt:lpstr>
      <vt:lpstr>FAKTOR1</vt:lpstr>
      <vt:lpstr>KURS_IN</vt:lpstr>
      <vt:lpstr>KURS_OUT</vt:lpstr>
      <vt:lpstr>Srpski!Print_Area</vt:lpstr>
    </vt:vector>
  </TitlesOfParts>
  <Company>Trivax V.V.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Supur</dc:creator>
  <cp:lastModifiedBy>Aleksandar Peric</cp:lastModifiedBy>
  <cp:lastPrinted>2025-11-10T22:07:04Z</cp:lastPrinted>
  <dcterms:created xsi:type="dcterms:W3CDTF">2001-10-03T19:01:32Z</dcterms:created>
  <dcterms:modified xsi:type="dcterms:W3CDTF">2025-11-10T22:31:39Z</dcterms:modified>
</cp:coreProperties>
</file>